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zo\Desktop\alma-copa-system\"/>
    </mc:Choice>
  </mc:AlternateContent>
  <xr:revisionPtr revIDLastSave="0" documentId="13_ncr:1_{2A4EFDB5-9412-4361-A17B-0342036D3CE0}" xr6:coauthVersionLast="47" xr6:coauthVersionMax="47" xr10:uidLastSave="{00000000-0000-0000-0000-000000000000}"/>
  <bookViews>
    <workbookView xWindow="3390" yWindow="1620" windowWidth="17440" windowHeight="19720" xr2:uid="{EB6FAF1F-8A7C-4DDB-8B0F-32DFF6930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4" i="1" l="1"/>
  <c r="W31" i="1"/>
  <c r="W37" i="1"/>
  <c r="W25" i="1"/>
  <c r="W19" i="1"/>
  <c r="V13" i="1" s="1"/>
  <c r="X1" i="1"/>
  <c r="G13" i="1" l="1"/>
  <c r="V14" i="1"/>
</calcChain>
</file>

<file path=xl/sharedStrings.xml><?xml version="1.0" encoding="utf-8"?>
<sst xmlns="http://schemas.openxmlformats.org/spreadsheetml/2006/main" count="63" uniqueCount="49">
  <si>
    <t>概 算 御 見 積 書</t>
    <rPh sb="0" eb="1">
      <t>ガイ</t>
    </rPh>
    <rPh sb="2" eb="3">
      <t>サン</t>
    </rPh>
    <rPh sb="4" eb="5">
      <t>オ</t>
    </rPh>
    <rPh sb="6" eb="7">
      <t>ミ</t>
    </rPh>
    <rPh sb="8" eb="9">
      <t>セキ</t>
    </rPh>
    <rPh sb="10" eb="11">
      <t>ショ</t>
    </rPh>
    <phoneticPr fontId="1"/>
  </si>
  <si>
    <t>様</t>
    <rPh sb="0" eb="1">
      <t>サマ</t>
    </rPh>
    <phoneticPr fontId="1"/>
  </si>
  <si>
    <t>発行日付：</t>
    <rPh sb="0" eb="2">
      <t>ハッコウ</t>
    </rPh>
    <rPh sb="2" eb="4">
      <t>ヒヅケ</t>
    </rPh>
    <phoneticPr fontId="1"/>
  </si>
  <si>
    <t>プロジェクト名</t>
    <rPh sb="6" eb="7">
      <t>メイ</t>
    </rPh>
    <phoneticPr fontId="1"/>
  </si>
  <si>
    <t>納品日</t>
    <rPh sb="0" eb="3">
      <t>ノウヒンビ</t>
    </rPh>
    <phoneticPr fontId="1"/>
  </si>
  <si>
    <t>支払い条件</t>
    <rPh sb="0" eb="2">
      <t>シハラ</t>
    </rPh>
    <rPh sb="3" eb="5">
      <t>ジョウケン</t>
    </rPh>
    <phoneticPr fontId="1"/>
  </si>
  <si>
    <t>Revise</t>
    <phoneticPr fontId="1"/>
  </si>
  <si>
    <t>キャンセル料</t>
    <rPh sb="5" eb="6">
      <t>リョウ</t>
    </rPh>
    <phoneticPr fontId="1"/>
  </si>
  <si>
    <t>下記の通り御見積申し上げます。</t>
    <rPh sb="0" eb="2">
      <t>カキ</t>
    </rPh>
    <rPh sb="3" eb="4">
      <t>トオ</t>
    </rPh>
    <rPh sb="5" eb="8">
      <t>オミツモリ</t>
    </rPh>
    <rPh sb="8" eb="9">
      <t>モウ</t>
    </rPh>
    <rPh sb="10" eb="11">
      <t>ア</t>
    </rPh>
    <phoneticPr fontId="1"/>
  </si>
  <si>
    <t>納入場所</t>
    <rPh sb="0" eb="2">
      <t>ノウニュウ</t>
    </rPh>
    <rPh sb="2" eb="4">
      <t>バショ</t>
    </rPh>
    <phoneticPr fontId="1"/>
  </si>
  <si>
    <r>
      <t>御見積金額</t>
    </r>
    <r>
      <rPr>
        <sz val="8"/>
        <color theme="4" tint="-0.499984740745262"/>
        <rFont val="BIZ UDPゴシック"/>
        <family val="3"/>
        <charset val="128"/>
      </rPr>
      <t>（税込）</t>
    </r>
    <rPh sb="0" eb="5">
      <t>オミツモリキンガク</t>
    </rPh>
    <rPh sb="6" eb="8">
      <t>ゼイコミ</t>
    </rPh>
    <phoneticPr fontId="1"/>
  </si>
  <si>
    <t>税抜金額</t>
    <rPh sb="0" eb="2">
      <t>ゼイヌ</t>
    </rPh>
    <rPh sb="2" eb="4">
      <t>キンガク</t>
    </rPh>
    <phoneticPr fontId="1"/>
  </si>
  <si>
    <t>消費税</t>
    <rPh sb="0" eb="3">
      <t>ショウヒゼイ</t>
    </rPh>
    <phoneticPr fontId="1"/>
  </si>
  <si>
    <t>項目</t>
    <rPh sb="0" eb="2">
      <t>コウモク</t>
    </rPh>
    <phoneticPr fontId="1"/>
  </si>
  <si>
    <t>金額</t>
    <rPh sb="0" eb="2">
      <t>キンガク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</si>
  <si>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</si>
  <si>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</si>
  <si>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内容</t>
    <rPh sb="0" eb="2">
      <t>ナイヨウ</t>
    </rPh>
    <phoneticPr fontId="1"/>
  </si>
  <si>
    <t>数量</t>
    <phoneticPr fontId="1"/>
  </si>
  <si>
    <r>
      <t>2</t>
    </r>
    <r>
      <rPr>
        <sz val="8"/>
        <color theme="4" tint="-0.499984740745262"/>
        <rFont val="MS UI Gothic"/>
        <family val="3"/>
        <charset val="128"/>
      </rPr>
      <t>回校正</t>
    </r>
    <rPh sb="1" eb="2">
      <t>カイ</t>
    </rPh>
    <rPh sb="2" eb="4">
      <t>コウセイ</t>
    </rPh>
    <phoneticPr fontId="1"/>
  </si>
  <si>
    <t>ー</t>
    <phoneticPr fontId="1"/>
  </si>
  <si>
    <t>システム設計費</t>
  </si>
  <si>
    <t>エントリー導線設計</t>
  </si>
  <si>
    <t>データベース構成設計</t>
  </si>
  <si>
    <t>UI / UXデザイン費</t>
  </si>
  <si>
    <t>公開ページデザイン</t>
  </si>
  <si>
    <t>決済 / 管理フロー設計</t>
  </si>
  <si>
    <t>管理画面UI設計</t>
  </si>
  <si>
    <t>スマホ / レスポンシブ最適化</t>
  </si>
  <si>
    <t>フロントエンド開発費</t>
  </si>
  <si>
    <t>エントリーフォーム開発</t>
  </si>
  <si>
    <t>マイページ / 管理画面構築</t>
  </si>
  <si>
    <t>検索 / 階級表示機能実装</t>
  </si>
  <si>
    <t>バックエンド・システム構築費</t>
  </si>
  <si>
    <t>式</t>
  </si>
  <si>
    <t>Firestore連携</t>
  </si>
  <si>
    <t>Stripe決済 / Webhook構築</t>
  </si>
  <si>
    <t>メール送信システム構築</t>
  </si>
  <si>
    <t>テスト・調整費</t>
  </si>
  <si>
    <t>動作確認 / テスト</t>
  </si>
  <si>
    <t>システム実装調整</t>
  </si>
  <si>
    <t>公開前最終調整</t>
  </si>
  <si>
    <t>COPA ALMA エントリーシステム</t>
  </si>
  <si>
    <t>cop-alma.com</t>
  </si>
  <si>
    <t>納品月末締め・翌月末日までに銀行振込</t>
  </si>
  <si>
    <t>※有効期限：2026年6月末日まで</t>
  </si>
  <si>
    <t>2026年５月末</t>
  </si>
  <si>
    <t>株式会社マーシャルワールド 江崎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</si>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</sst>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;&quot;¥&quot;\-#,##0"/>
  </numFmts>
  <fonts count="22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2"/>
      <color theme="1"/>
      <name val="ヒラギノ角ゴ Pro W7"/>
      <family val="3"/>
      <charset val="128"/>
    </font>
    <font>
      <sz val="11"/>
      <color theme="1"/>
      <name val="ヒラギノ角ゴ Pro W5"/>
      <family val="3"/>
      <charset val="128"/>
    </font>
    <font>
      <sz val="9"/>
      <color theme="1"/>
      <name val="ヒラギノ角ゴ Pro W5"/>
      <family val="3"/>
      <charset val="128"/>
    </font>
    <font>
      <sz val="11"/>
      <color theme="1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b/>
      <sz val="14"/>
      <color theme="4" tint="-0.249977111117893"/>
      <name val="BIZ UDPゴシック"/>
      <family val="3"/>
      <charset val="128"/>
    </font>
    <font>
      <sz val="8"/>
      <color theme="4" tint="-0.249977111117893"/>
      <name val="BIZ UDPゴシック"/>
      <family val="3"/>
      <charset val="128"/>
    </font>
    <font>
      <sz val="11"/>
      <color theme="4" tint="-0.499984740745262"/>
      <name val="BIZ UDPゴシック"/>
      <family val="3"/>
      <charset val="128"/>
    </font>
    <font>
      <sz val="8"/>
      <color theme="4" tint="-0.499984740745262"/>
      <name val="BIZ UDPゴシック"/>
      <family val="3"/>
      <charset val="128"/>
    </font>
    <font>
      <sz val="10"/>
      <color theme="4" tint="-0.499984740745262"/>
      <name val="BIZ UDPゴシック"/>
      <family val="3"/>
      <charset val="128"/>
    </font>
    <font>
      <b/>
      <sz val="10"/>
      <color theme="4" tint="-0.499984740745262"/>
      <name val="BIZ UDPゴシック"/>
      <family val="3"/>
      <charset val="128"/>
    </font>
    <font>
      <sz val="8"/>
      <color theme="4" tint="-0.499984740745262"/>
      <name val="ヒラギノ角ゴ Pro W5"/>
      <family val="3"/>
      <charset val="128"/>
    </font>
    <font>
      <sz val="8"/>
      <color theme="4" tint="-0.499984740745262"/>
      <name val="MS UI Gothic"/>
      <family val="3"/>
      <charset val="128"/>
    </font>
    <font>
      <sz val="7.5"/>
      <color theme="4" tint="-0.499984740745262"/>
      <name val="ヒラギノ角ゴ Pro W5"/>
      <family val="3"/>
      <charset val="128"/>
    </font>
    <font>
      <sz val="7.5"/>
      <color theme="4" tint="-0.499984740745262"/>
      <name val="MS UI Gothic"/>
      <family val="3"/>
      <charset val="128"/>
    </font>
    <font>
      <sz val="11"/>
      <color theme="4" tint="-0.499984740745262"/>
      <name val="ＭＳ Ｐゴシック"/>
      <family val="3"/>
      <charset val="128"/>
    </font>
    <font>
      <b/>
      <sz val="15"/>
      <color theme="4" tint="-0.249977111117893"/>
      <name val="BIZ UDPゴシック"/>
      <family val="3"/>
      <charset val="128"/>
    </font>
    <font>
      <sz val="6"/>
      <color theme="4" tint="-0.499984740745262"/>
      <name val="BIZ UDPゴシック"/>
      <family val="3"/>
      <charset val="128"/>
    </font>
    <font>
      <sz val="11"/>
      <color theme="3"/>
      <name val="BIZ UDPゴシック"/>
      <family val="3"/>
      <charset val="128"/>
    </font>
    <font>
      <sz val="8"/>
      <color theme="3"/>
      <name val="BIZ UDP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theme="4" tint="0.79998168889431442"/>
      </right>
      <top style="thick">
        <color theme="4" tint="0.79998168889431442"/>
      </top>
      <bottom style="thick">
        <color theme="4" tint="0.79998168889431442"/>
      </bottom>
      <diagonal/>
    </border>
    <border>
      <left/>
      <right style="thin">
        <color indexed="64"/>
      </right>
      <top style="thick">
        <color theme="4" tint="0.799981688894314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79998168889431442"/>
      </top>
      <bottom style="thin">
        <color indexed="64"/>
      </bottom>
      <diagonal/>
    </border>
    <border>
      <left style="thin">
        <color indexed="64"/>
      </left>
      <right style="thick">
        <color theme="4" tint="0.79998168889431442"/>
      </right>
      <top style="thick">
        <color theme="4" tint="0.7999816888943144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theme="4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 tint="0.79998168889431442"/>
      </bottom>
      <diagonal/>
    </border>
    <border>
      <left style="thin">
        <color indexed="64"/>
      </left>
      <right style="thick">
        <color theme="4" tint="0.79998168889431442"/>
      </right>
      <top style="thin">
        <color indexed="64"/>
      </top>
      <bottom style="thick">
        <color theme="4" tint="0.79998168889431442"/>
      </bottom>
      <diagonal/>
    </border>
    <border>
      <left style="thick">
        <color theme="4" tint="0.79995117038483843"/>
      </left>
      <right style="thin">
        <color indexed="64"/>
      </right>
      <top style="thick">
        <color theme="4" tint="0.7999511703848384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79995117038483843"/>
      </top>
      <bottom style="thin">
        <color indexed="64"/>
      </bottom>
      <diagonal/>
    </border>
    <border>
      <left style="thin">
        <color indexed="64"/>
      </left>
      <right/>
      <top style="thick">
        <color theme="4" tint="0.79995117038483843"/>
      </top>
      <bottom style="thin">
        <color indexed="64"/>
      </bottom>
      <diagonal/>
    </border>
    <border>
      <left style="thick">
        <color theme="4" tint="0.79995117038483843"/>
      </left>
      <right style="thin">
        <color indexed="64"/>
      </right>
      <top style="thin">
        <color indexed="64"/>
      </top>
      <bottom style="thick">
        <color theme="4" tint="0.7999511703848384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4" tint="0.79995117038483843"/>
      </bottom>
      <diagonal/>
    </border>
    <border>
      <left style="thin">
        <color indexed="64"/>
      </left>
      <right/>
      <top style="thin">
        <color indexed="64"/>
      </top>
      <bottom style="thick">
        <color theme="4" tint="0.79995117038483843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ck">
        <color theme="4" tint="0.79998168889431442"/>
      </top>
      <bottom style="thick">
        <color theme="4" tint="0.79998168889431442"/>
      </bottom>
      <diagonal/>
    </border>
    <border>
      <left style="thick">
        <color theme="4" tint="0.79998168889431442"/>
      </left>
      <right/>
      <top style="thick">
        <color theme="4" tint="0.79998168889431442"/>
      </top>
      <bottom style="thick">
        <color theme="4" tint="0.7999816888943144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ck">
        <color theme="4" tint="0.79998168889431442"/>
      </left>
      <right style="dashed">
        <color theme="4" tint="0.79995117038483843"/>
      </right>
      <top style="thick">
        <color theme="4" tint="0.79998168889431442"/>
      </top>
      <bottom style="dashed">
        <color theme="4" tint="0.79995117038483843"/>
      </bottom>
      <diagonal/>
    </border>
    <border>
      <left style="dashed">
        <color theme="4" tint="0.79995117038483843"/>
      </left>
      <right style="dashed">
        <color theme="4" tint="0.79995117038483843"/>
      </right>
      <top style="thick">
        <color theme="4" tint="0.79998168889431442"/>
      </top>
      <bottom style="dashed">
        <color theme="4" tint="0.79995117038483843"/>
      </bottom>
      <diagonal/>
    </border>
    <border>
      <left style="dashed">
        <color theme="4" tint="0.79995117038483843"/>
      </left>
      <right style="thick">
        <color theme="4" tint="0.79998168889431442"/>
      </right>
      <top style="thick">
        <color theme="4" tint="0.79998168889431442"/>
      </top>
      <bottom style="dashed">
        <color theme="4" tint="0.79995117038483843"/>
      </bottom>
      <diagonal/>
    </border>
    <border>
      <left style="thick">
        <color theme="4" tint="0.79998168889431442"/>
      </left>
      <right style="dashed">
        <color theme="4" tint="0.79995117038483843"/>
      </right>
      <top style="dashed">
        <color theme="4" tint="0.79995117038483843"/>
      </top>
      <bottom style="dashed">
        <color theme="4" tint="0.79995117038483843"/>
      </bottom>
      <diagonal/>
    </border>
    <border>
      <left style="dashed">
        <color theme="4" tint="0.79995117038483843"/>
      </left>
      <right style="dashed">
        <color theme="4" tint="0.79995117038483843"/>
      </right>
      <top style="dashed">
        <color theme="4" tint="0.79995117038483843"/>
      </top>
      <bottom style="dashed">
        <color theme="4" tint="0.79995117038483843"/>
      </bottom>
      <diagonal/>
    </border>
    <border>
      <left style="dashed">
        <color theme="4" tint="0.79995117038483843"/>
      </left>
      <right style="thick">
        <color theme="4" tint="0.79998168889431442"/>
      </right>
      <top style="dashed">
        <color theme="4" tint="0.79995117038483843"/>
      </top>
      <bottom style="dashed">
        <color theme="4" tint="0.79995117038483843"/>
      </bottom>
      <diagonal/>
    </border>
    <border>
      <left style="dashed">
        <color theme="4" tint="0.79995117038483843"/>
      </left>
      <right/>
      <top style="dashed">
        <color theme="4" tint="0.79995117038483843"/>
      </top>
      <bottom style="dashed">
        <color theme="4" tint="0.79995117038483843"/>
      </bottom>
      <diagonal/>
    </border>
    <border>
      <left/>
      <right/>
      <top style="dashed">
        <color theme="4" tint="0.79995117038483843"/>
      </top>
      <bottom style="dashed">
        <color theme="4" tint="0.79995117038483843"/>
      </bottom>
      <diagonal/>
    </border>
    <border>
      <left/>
      <right style="dashed">
        <color theme="4" tint="0.79995117038483843"/>
      </right>
      <top style="dashed">
        <color theme="4" tint="0.79995117038483843"/>
      </top>
      <bottom style="dashed">
        <color theme="4" tint="0.79995117038483843"/>
      </bottom>
      <diagonal/>
    </border>
    <border>
      <left style="thick">
        <color theme="4" tint="0.79998168889431442"/>
      </left>
      <right/>
      <top style="dashed">
        <color theme="4" tint="0.79995117038483843"/>
      </top>
      <bottom style="dashed">
        <color theme="4" tint="0.79995117038483843"/>
      </bottom>
      <diagonal/>
    </border>
    <border>
      <left/>
      <right style="thick">
        <color theme="4" tint="0.79998168889431442"/>
      </right>
      <top style="dashed">
        <color theme="4" tint="0.79995117038483843"/>
      </top>
      <bottom style="dashed">
        <color theme="4" tint="0.79995117038483843"/>
      </bottom>
      <diagonal/>
    </border>
    <border>
      <left style="thick">
        <color theme="4" tint="0.79998168889431442"/>
      </left>
      <right style="dashed">
        <color theme="4" tint="0.79995117038483843"/>
      </right>
      <top/>
      <bottom style="thick">
        <color theme="4" tint="0.79995117038483843"/>
      </bottom>
      <diagonal/>
    </border>
    <border>
      <left style="dashed">
        <color theme="4" tint="0.79995117038483843"/>
      </left>
      <right style="dashed">
        <color theme="4" tint="0.79995117038483843"/>
      </right>
      <top/>
      <bottom style="thick">
        <color theme="4" tint="0.79995117038483843"/>
      </bottom>
      <diagonal/>
    </border>
    <border>
      <left style="dashed">
        <color theme="4" tint="0.79995117038483843"/>
      </left>
      <right style="thick">
        <color theme="4" tint="0.79998168889431442"/>
      </right>
      <top/>
      <bottom style="thick">
        <color theme="4" tint="0.79995117038483843"/>
      </bottom>
      <diagonal/>
    </border>
    <border>
      <left/>
      <right/>
      <top style="thick">
        <color theme="4" tint="0.79995117038483843"/>
      </top>
      <bottom/>
      <diagonal/>
    </border>
    <border>
      <left style="thick">
        <color theme="4" tint="0.79998168889431442"/>
      </left>
      <right/>
      <top style="thick">
        <color theme="4" tint="0.79998168889431442"/>
      </top>
      <bottom/>
      <diagonal/>
    </border>
    <border>
      <left/>
      <right/>
      <top style="thick">
        <color theme="4" tint="0.79998168889431442"/>
      </top>
      <bottom/>
      <diagonal/>
    </border>
    <border>
      <left/>
      <right style="thick">
        <color theme="4" tint="0.79998168889431442"/>
      </right>
      <top style="thick">
        <color theme="4" tint="0.79998168889431442"/>
      </top>
      <bottom/>
      <diagonal/>
    </border>
    <border>
      <left style="thick">
        <color theme="4" tint="0.79998168889431442"/>
      </left>
      <right/>
      <top/>
      <bottom/>
      <diagonal/>
    </border>
    <border>
      <left/>
      <right style="thick">
        <color theme="4" tint="0.79998168889431442"/>
      </right>
      <top/>
      <bottom/>
      <diagonal/>
    </border>
    <border>
      <left style="thick">
        <color theme="4" tint="0.79998168889431442"/>
      </left>
      <right/>
      <top/>
      <bottom style="thick">
        <color theme="4" tint="0.79998168889431442"/>
      </bottom>
      <diagonal/>
    </border>
    <border>
      <left/>
      <right/>
      <top/>
      <bottom style="thick">
        <color theme="4" tint="0.79998168889431442"/>
      </bottom>
      <diagonal/>
    </border>
    <border>
      <left/>
      <right style="thick">
        <color theme="4" tint="0.79998168889431442"/>
      </right>
      <top/>
      <bottom style="thick">
        <color theme="4" tint="0.79998168889431442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distributed" vertical="center" indent="1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4" fontId="8" fillId="0" borderId="0" xfId="0" applyNumberFormat="1" applyFont="1">
      <alignment vertical="center"/>
    </xf>
    <xf numFmtId="0" fontId="17" fillId="0" borderId="1" xfId="0" applyFont="1" applyBorder="1">
      <alignment vertical="center"/>
    </xf>
    <xf numFmtId="0" fontId="9" fillId="2" borderId="28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20" fillId="0" borderId="41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4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6" xfId="0" applyBorder="1" applyAlignment="1">
      <alignment horizontal="left" vertical="top"/>
    </xf>
    <xf numFmtId="0" fontId="0" fillId="0" borderId="47" xfId="0" applyBorder="1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49" xfId="0" applyBorder="1" applyAlignment="1">
      <alignment horizontal="left" vertical="top"/>
    </xf>
    <xf numFmtId="3" fontId="10" fillId="0" borderId="33" xfId="0" applyNumberFormat="1" applyFont="1" applyBorder="1">
      <alignment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3" fontId="10" fillId="0" borderId="34" xfId="0" applyNumberFormat="1" applyFont="1" applyBorder="1">
      <alignment vertical="center"/>
    </xf>
    <xf numFmtId="3" fontId="10" fillId="0" borderId="35" xfId="0" applyNumberFormat="1" applyFont="1" applyBorder="1">
      <alignment vertical="center"/>
    </xf>
    <xf numFmtId="0" fontId="10" fillId="0" borderId="30" xfId="0" applyFont="1" applyBorder="1">
      <alignment vertical="center"/>
    </xf>
    <xf numFmtId="0" fontId="10" fillId="0" borderId="31" xfId="0" applyFont="1" applyBorder="1">
      <alignment vertical="center"/>
    </xf>
    <xf numFmtId="3" fontId="10" fillId="0" borderId="31" xfId="0" applyNumberFormat="1" applyFont="1" applyBorder="1">
      <alignment vertical="center"/>
    </xf>
    <xf numFmtId="0" fontId="10" fillId="0" borderId="31" xfId="0" applyFont="1" applyBorder="1" applyAlignment="1">
      <alignment horizontal="center" vertical="center"/>
    </xf>
    <xf numFmtId="3" fontId="10" fillId="0" borderId="32" xfId="0" applyNumberFormat="1" applyFont="1" applyBorder="1">
      <alignment vertical="center"/>
    </xf>
    <xf numFmtId="3" fontId="10" fillId="0" borderId="39" xfId="0" applyNumberFormat="1" applyFont="1" applyBorder="1">
      <alignment vertical="center"/>
    </xf>
    <xf numFmtId="0" fontId="10" fillId="0" borderId="39" xfId="0" applyFont="1" applyBorder="1" applyAlignment="1">
      <alignment horizontal="center" vertical="center"/>
    </xf>
    <xf numFmtId="3" fontId="10" fillId="0" borderId="33" xfId="0" applyNumberFormat="1" applyFont="1" applyBorder="1" applyAlignment="1">
      <alignment horizontal="right" vertical="center"/>
    </xf>
    <xf numFmtId="3" fontId="10" fillId="0" borderId="34" xfId="0" applyNumberFormat="1" applyFont="1" applyBorder="1" applyAlignment="1">
      <alignment horizontal="right" vertical="center"/>
    </xf>
    <xf numFmtId="3" fontId="10" fillId="0" borderId="35" xfId="0" applyNumberFormat="1" applyFont="1" applyBorder="1" applyAlignment="1">
      <alignment horizontal="right" vertical="center"/>
    </xf>
    <xf numFmtId="3" fontId="12" fillId="0" borderId="31" xfId="0" applyNumberFormat="1" applyFont="1" applyBorder="1">
      <alignment vertical="center"/>
    </xf>
    <xf numFmtId="0" fontId="12" fillId="0" borderId="32" xfId="0" applyFont="1" applyBorder="1">
      <alignment vertical="center"/>
    </xf>
    <xf numFmtId="0" fontId="8" fillId="0" borderId="0" xfId="0" applyFont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164" fontId="11" fillId="0" borderId="17" xfId="0" applyNumberFormat="1" applyFont="1" applyBorder="1" applyAlignment="1">
      <alignment horizontal="right" vertical="center" indent="1"/>
    </xf>
    <xf numFmtId="164" fontId="11" fillId="0" borderId="2" xfId="0" applyNumberFormat="1" applyFont="1" applyBorder="1" applyAlignment="1">
      <alignment horizontal="right" vertical="center" indent="1"/>
    </xf>
    <xf numFmtId="0" fontId="9" fillId="2" borderId="18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distributed" vertical="center" indent="1"/>
    </xf>
    <xf numFmtId="0" fontId="10" fillId="2" borderId="16" xfId="0" applyFont="1" applyFill="1" applyBorder="1" applyAlignment="1">
      <alignment horizontal="distributed" vertical="center" indent="1"/>
    </xf>
    <xf numFmtId="0" fontId="19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 indent="1"/>
    </xf>
    <xf numFmtId="0" fontId="10" fillId="0" borderId="15" xfId="0" applyFont="1" applyBorder="1" applyAlignment="1">
      <alignment horizontal="left" vertical="center" indent="1"/>
    </xf>
    <xf numFmtId="0" fontId="13" fillId="0" borderId="16" xfId="0" applyFont="1" applyBorder="1" applyAlignment="1">
      <alignment horizontal="left" vertical="center" indent="1"/>
    </xf>
    <xf numFmtId="0" fontId="15" fillId="0" borderId="16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0" fontId="10" fillId="2" borderId="16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5" fillId="0" borderId="31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left" vertical="center" indent="1"/>
    </xf>
    <xf numFmtId="0" fontId="10" fillId="0" borderId="31" xfId="0" applyFont="1" applyBorder="1" applyAlignment="1">
      <alignment horizontal="left" vertical="center" indent="1"/>
    </xf>
    <xf numFmtId="0" fontId="10" fillId="0" borderId="36" xfId="0" applyFont="1" applyBorder="1" applyAlignment="1">
      <alignment horizontal="left" vertical="center" indent="1"/>
    </xf>
    <xf numFmtId="0" fontId="10" fillId="0" borderId="34" xfId="0" applyFont="1" applyBorder="1" applyAlignment="1">
      <alignment horizontal="left" vertical="center" indent="1"/>
    </xf>
    <xf numFmtId="0" fontId="10" fillId="0" borderId="35" xfId="0" applyFont="1" applyBorder="1" applyAlignment="1">
      <alignment horizontal="left" vertical="center" indent="1"/>
    </xf>
    <xf numFmtId="0" fontId="10" fillId="0" borderId="38" xfId="0" applyFont="1" applyBorder="1" applyAlignment="1">
      <alignment horizontal="left" vertical="center" indent="1"/>
    </xf>
    <xf numFmtId="0" fontId="10" fillId="0" borderId="39" xfId="0" applyFont="1" applyBorder="1" applyAlignment="1">
      <alignment horizontal="left" vertical="center" indent="1"/>
    </xf>
    <xf numFmtId="0" fontId="9" fillId="0" borderId="31" xfId="0" applyFont="1" applyBorder="1" applyAlignment="1">
      <alignment horizontal="left" vertical="center" indent="1"/>
    </xf>
    <xf numFmtId="0" fontId="10" fillId="0" borderId="31" xfId="0" applyFont="1" applyBorder="1" applyAlignment="1">
      <alignment horizontal="left" vertical="center" wrapText="1" indent="1"/>
    </xf>
    <xf numFmtId="0" fontId="10" fillId="0" borderId="33" xfId="0" applyFont="1" applyBorder="1" applyAlignment="1">
      <alignment horizontal="left" vertical="center" indent="1"/>
    </xf>
    <xf numFmtId="3" fontId="12" fillId="0" borderId="31" xfId="0" applyNumberFormat="1" applyFont="1" applyBorder="1" applyAlignment="1">
      <alignment horizontal="right" vertical="center" indent="1"/>
    </xf>
    <xf numFmtId="0" fontId="12" fillId="0" borderId="32" xfId="0" applyFont="1" applyBorder="1" applyAlignment="1">
      <alignment horizontal="right" vertical="center" indent="1"/>
    </xf>
    <xf numFmtId="3" fontId="10" fillId="0" borderId="31" xfId="0" applyNumberFormat="1" applyFont="1" applyBorder="1" applyAlignment="1">
      <alignment horizontal="right" vertical="center" indent="1"/>
    </xf>
    <xf numFmtId="3" fontId="10" fillId="0" borderId="32" xfId="0" applyNumberFormat="1" applyFont="1" applyBorder="1" applyAlignment="1">
      <alignment horizontal="right" vertical="center" indent="1"/>
    </xf>
    <xf numFmtId="3" fontId="10" fillId="0" borderId="33" xfId="0" applyNumberFormat="1" applyFont="1" applyBorder="1" applyAlignment="1">
      <alignment horizontal="right" vertical="center" indent="1"/>
    </xf>
    <xf numFmtId="3" fontId="10" fillId="0" borderId="37" xfId="0" applyNumberFormat="1" applyFont="1" applyBorder="1" applyAlignment="1">
      <alignment horizontal="right" vertical="center" indent="1"/>
    </xf>
    <xf numFmtId="3" fontId="10" fillId="0" borderId="39" xfId="0" applyNumberFormat="1" applyFont="1" applyBorder="1" applyAlignment="1">
      <alignment horizontal="right" vertical="center" indent="1"/>
    </xf>
    <xf numFmtId="3" fontId="10" fillId="0" borderId="40" xfId="0" applyNumberFormat="1" applyFont="1" applyBorder="1" applyAlignment="1">
      <alignment horizontal="right" vertical="center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1885</xdr:colOff>
      <xdr:row>6</xdr:row>
      <xdr:rowOff>12556</xdr:rowOff>
    </xdr:from>
    <xdr:to>
      <xdr:col>23</xdr:col>
      <xdr:colOff>444501</xdr:colOff>
      <xdr:row>9</xdr:row>
      <xdr:rowOff>268654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E85764DC-C0AD-44C5-9882-4DA692B39B0F}"/>
            </a:ext>
          </a:extLst>
        </xdr:cNvPr>
        <xdr:cNvSpPr txBox="1"/>
      </xdr:nvSpPr>
      <xdr:spPr>
        <a:xfrm>
          <a:off x="4349193" y="1131133"/>
          <a:ext cx="1619808" cy="7640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スプートニクワークス株式会社</a:t>
          </a:r>
          <a:endParaRPr kumimoji="1" lang="en-US" altLang="ja-JP" sz="700" b="1">
            <a:solidFill>
              <a:schemeClr val="accent1">
                <a:lumMod val="75000"/>
              </a:schemeClr>
            </a:solidFill>
            <a:latin typeface="ヒラギノ角ゴ Pro W5"/>
          </a:endParaRPr>
        </a:p>
        <a:p>
          <a:r>
            <a:rPr kumimoji="1" lang="ja-JP" altLang="en-US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〒</a:t>
          </a:r>
          <a:r>
            <a:rPr kumimoji="1" lang="en-US" altLang="ja-JP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355-0024</a:t>
          </a:r>
        </a:p>
        <a:p>
          <a:r>
            <a:rPr kumimoji="1" lang="ja-JP" altLang="en-US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埼玉県東松山市六軒町</a:t>
          </a:r>
          <a:r>
            <a:rPr kumimoji="1" lang="en-US" altLang="ja-JP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9-13</a:t>
          </a:r>
        </a:p>
        <a:p>
          <a:r>
            <a:rPr kumimoji="1" lang="en-US" altLang="ja-JP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TEL:049-333-1320</a:t>
          </a:r>
        </a:p>
        <a:p>
          <a:r>
            <a:rPr kumimoji="1" lang="en-US" altLang="ja-JP" sz="700" b="1">
              <a:solidFill>
                <a:schemeClr val="accent1">
                  <a:lumMod val="75000"/>
                </a:schemeClr>
              </a:solidFill>
              <a:latin typeface="ヒラギノ角ゴ Pro W5"/>
            </a:rPr>
            <a:t>http://www.sputnikworks.co.jp</a:t>
          </a:r>
          <a:endParaRPr kumimoji="1" lang="ja-JP" altLang="en-US" sz="700" b="1">
            <a:solidFill>
              <a:schemeClr val="accent1">
                <a:lumMod val="75000"/>
              </a:schemeClr>
            </a:solidFill>
            <a:latin typeface="ヒラギノ角ゴ Pro W5"/>
          </a:endParaRPr>
        </a:p>
      </xdr:txBody>
    </xdr:sp>
    <xdr:clientData/>
  </xdr:twoCellAnchor>
  <xdr:twoCellAnchor editAs="oneCell">
    <xdr:from>
      <xdr:col>22</xdr:col>
      <xdr:colOff>89075</xdr:colOff>
      <xdr:row>6</xdr:row>
      <xdr:rowOff>2929</xdr:rowOff>
    </xdr:from>
    <xdr:to>
      <xdr:col>23</xdr:col>
      <xdr:colOff>631713</xdr:colOff>
      <xdr:row>9</xdr:row>
      <xdr:rowOff>125604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96D6C9-258B-455F-97A5-D0F1FB6AC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9113" y="1121506"/>
          <a:ext cx="777100" cy="7625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24</xdr:col>
      <xdr:colOff>0</xdr:colOff>
      <xdr:row>1</xdr:row>
      <xdr:rowOff>4186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66E82E6F-170D-42A5-9EF4-D5AB035933CB}"/>
            </a:ext>
          </a:extLst>
        </xdr:cNvPr>
        <xdr:cNvCxnSpPr/>
      </xdr:nvCxnSpPr>
      <xdr:spPr>
        <a:xfrm>
          <a:off x="0" y="234462"/>
          <a:ext cx="6753330" cy="4186"/>
        </a:xfrm>
        <a:prstGeom prst="line">
          <a:avLst/>
        </a:prstGeom>
        <a:ln w="28575" cmpd="thickThin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5861</xdr:rowOff>
    </xdr:from>
    <xdr:to>
      <xdr:col>24</xdr:col>
      <xdr:colOff>5861</xdr:colOff>
      <xdr:row>3</xdr:row>
      <xdr:rowOff>20934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5C77D7D0-F20B-419F-BE92-C727D74C49A0}"/>
            </a:ext>
          </a:extLst>
        </xdr:cNvPr>
        <xdr:cNvCxnSpPr/>
      </xdr:nvCxnSpPr>
      <xdr:spPr>
        <a:xfrm flipV="1">
          <a:off x="0" y="709246"/>
          <a:ext cx="6759191" cy="15073"/>
        </a:xfrm>
        <a:prstGeom prst="line">
          <a:avLst/>
        </a:prstGeom>
        <a:ln w="28575" cmpd="thickThin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87922</xdr:colOff>
      <xdr:row>4</xdr:row>
      <xdr:rowOff>71175</xdr:rowOff>
    </xdr:from>
    <xdr:to>
      <xdr:col>21</xdr:col>
      <xdr:colOff>21637</xdr:colOff>
      <xdr:row>6</xdr:row>
      <xdr:rowOff>25121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8E8EC1E-0943-40ED-BF7B-4CDC6FFCB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7394" y="916911"/>
          <a:ext cx="804573" cy="4228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D27E-9293-435C-A0F4-492F10CEF0A9}">
  <dimension ref="A1:X54"/>
  <sheetViews>
    <sheetView tabSelected="1" topLeftCell="A13" zoomScale="130" zoomScaleNormal="130" workbookViewId="0">
      <selection activeCell="AA49" sqref="AA49"/>
    </sheetView>
  </sheetViews>
  <sheetFormatPr defaultColWidth="3.36328125" defaultRowHeight="14.5"/>
  <cols>
    <col min="6" max="6" width="4.36328125" customWidth="1"/>
    <col min="8" max="8" width="4.08984375" customWidth="1"/>
    <col min="17" max="17" width="4.1796875" customWidth="1"/>
    <col min="19" max="19" width="2.1796875" customWidth="1"/>
    <col min="20" max="20" width="5.81640625" customWidth="1"/>
    <col min="22" max="22" width="2.1796875" customWidth="1"/>
    <col min="24" max="24" width="13.90625" customWidth="1"/>
  </cols>
  <sheetData>
    <row r="1" spans="1:24">
      <c r="A1" s="8" t="s">
        <v>45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44" t="s">
        <v>2</v>
      </c>
      <c r="W1" s="44"/>
      <c r="X1" s="9">
        <f ca="1">TODAY()</f>
        <v>46169</v>
      </c>
    </row>
    <row r="2" spans="1:24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4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</row>
    <row r="4" spans="1:24" ht="11.1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3"/>
      <c r="S5" s="62"/>
      <c r="T5" s="63"/>
      <c r="U5" s="63"/>
      <c r="V5" s="63"/>
      <c r="W5" s="63"/>
      <c r="X5" s="64"/>
    </row>
    <row r="6" spans="1:24" ht="18.5" customHeight="1">
      <c r="A6" s="84" t="s">
        <v>47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10" t="s">
        <v>1</v>
      </c>
      <c r="R6" s="3"/>
      <c r="S6" s="65"/>
      <c r="T6" s="66"/>
      <c r="U6" s="66"/>
      <c r="V6" s="66"/>
      <c r="W6" s="66"/>
      <c r="X6" s="67"/>
    </row>
    <row r="7" spans="1:24" ht="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3"/>
      <c r="S7" s="65"/>
      <c r="T7" s="66"/>
      <c r="U7" s="66"/>
      <c r="V7" s="66"/>
      <c r="W7" s="66"/>
      <c r="X7" s="67"/>
    </row>
    <row r="8" spans="1:24" ht="18.5" customHeight="1">
      <c r="A8" s="80" t="s">
        <v>3</v>
      </c>
      <c r="B8" s="80"/>
      <c r="C8" s="80"/>
      <c r="D8" s="73" t="s">
        <v>42</v>
      </c>
      <c r="E8" s="73"/>
      <c r="F8" s="73"/>
      <c r="G8" s="73"/>
      <c r="H8" s="73"/>
      <c r="I8" s="72" t="s">
        <v>6</v>
      </c>
      <c r="J8" s="72"/>
      <c r="K8" s="72"/>
      <c r="L8" s="76" t="s">
        <v>19</v>
      </c>
      <c r="M8" s="76"/>
      <c r="N8" s="76"/>
      <c r="O8" s="76"/>
      <c r="P8" s="76"/>
      <c r="Q8" s="76"/>
      <c r="R8" s="3"/>
      <c r="S8" s="65"/>
      <c r="T8" s="66"/>
      <c r="U8" s="66"/>
      <c r="V8" s="66"/>
      <c r="W8" s="66"/>
      <c r="X8" s="67"/>
    </row>
    <row r="9" spans="1:24" ht="25" customHeight="1">
      <c r="A9" s="72" t="s">
        <v>4</v>
      </c>
      <c r="B9" s="72"/>
      <c r="C9" s="72"/>
      <c r="D9" s="74" t="s">
        <v>46</v>
      </c>
      <c r="E9" s="74"/>
      <c r="F9" s="74"/>
      <c r="G9" s="74"/>
      <c r="H9" s="74"/>
      <c r="I9" s="80" t="s">
        <v>5</v>
      </c>
      <c r="J9" s="80"/>
      <c r="K9" s="80"/>
      <c r="L9" s="77" t="s">
        <v>44</v>
      </c>
      <c r="M9" s="77"/>
      <c r="N9" s="77"/>
      <c r="O9" s="77"/>
      <c r="P9" s="77"/>
      <c r="Q9" s="77"/>
      <c r="R9" s="3"/>
      <c r="S9" s="65"/>
      <c r="T9" s="66"/>
      <c r="U9" s="66"/>
      <c r="V9" s="66"/>
      <c r="W9" s="66"/>
      <c r="X9" s="67"/>
    </row>
    <row r="10" spans="1:24" ht="23.5" customHeight="1">
      <c r="A10" s="71" t="s">
        <v>9</v>
      </c>
      <c r="B10" s="71"/>
      <c r="C10" s="71"/>
      <c r="D10" s="75" t="s">
        <v>43</v>
      </c>
      <c r="E10" s="75"/>
      <c r="F10" s="75"/>
      <c r="G10" s="75"/>
      <c r="H10" s="75"/>
      <c r="I10" s="81" t="s">
        <v>7</v>
      </c>
      <c r="J10" s="81"/>
      <c r="K10" s="81"/>
      <c r="L10" s="78" t="s">
        <v>20</v>
      </c>
      <c r="M10" s="79"/>
      <c r="N10" s="79"/>
      <c r="O10" s="79"/>
      <c r="P10" s="79"/>
      <c r="Q10" s="79"/>
      <c r="R10" s="1"/>
      <c r="S10" s="68"/>
      <c r="T10" s="69"/>
      <c r="U10" s="69"/>
      <c r="V10" s="69"/>
      <c r="W10" s="69"/>
      <c r="X10" s="70"/>
    </row>
    <row r="11" spans="1:24" ht="8.75" customHeight="1">
      <c r="A11" s="6"/>
      <c r="B11" s="6"/>
      <c r="C11" s="6"/>
      <c r="D11" s="7"/>
      <c r="E11" s="7"/>
      <c r="F11" s="7"/>
      <c r="G11" s="7"/>
      <c r="H11" s="7"/>
      <c r="I11" s="6"/>
      <c r="J11" s="6"/>
      <c r="K11" s="6"/>
      <c r="L11" s="5"/>
      <c r="M11" s="5"/>
      <c r="N11" s="5"/>
      <c r="O11" s="5"/>
      <c r="P11" s="5"/>
      <c r="Q11" s="5"/>
      <c r="R11" s="1"/>
      <c r="S11" s="1"/>
      <c r="T11" s="1"/>
      <c r="U11" s="1"/>
      <c r="V11" s="1"/>
      <c r="W11" s="1"/>
      <c r="X11" s="1"/>
    </row>
    <row r="12" spans="1:24" ht="21.5" customHeight="1" thickBot="1">
      <c r="A12" s="8" t="s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5" thickTop="1" thickBot="1">
      <c r="A13" s="51" t="s">
        <v>10</v>
      </c>
      <c r="B13" s="52"/>
      <c r="C13" s="52"/>
      <c r="D13" s="52"/>
      <c r="E13" s="52"/>
      <c r="F13" s="53"/>
      <c r="G13" s="45">
        <f>V13+(V13*0.1)</f>
        <v>330000</v>
      </c>
      <c r="H13" s="46"/>
      <c r="I13" s="46"/>
      <c r="J13" s="46"/>
      <c r="K13" s="46"/>
      <c r="L13" s="46"/>
      <c r="M13" s="46"/>
      <c r="N13" s="46"/>
      <c r="O13" s="46"/>
      <c r="P13" s="46"/>
      <c r="Q13" s="47"/>
      <c r="R13" s="4"/>
      <c r="S13" s="59" t="s">
        <v>11</v>
      </c>
      <c r="T13" s="60"/>
      <c r="U13" s="61"/>
      <c r="V13" s="57">
        <f>W19+W25+W31+W37+W44</f>
        <v>300000</v>
      </c>
      <c r="W13" s="57"/>
      <c r="X13" s="58"/>
    </row>
    <row r="14" spans="1:24" ht="15.5" thickTop="1" thickBot="1">
      <c r="A14" s="54"/>
      <c r="B14" s="55"/>
      <c r="C14" s="55"/>
      <c r="D14" s="55"/>
      <c r="E14" s="55"/>
      <c r="F14" s="56"/>
      <c r="G14" s="48"/>
      <c r="H14" s="49"/>
      <c r="I14" s="49"/>
      <c r="J14" s="49"/>
      <c r="K14" s="49"/>
      <c r="L14" s="49"/>
      <c r="M14" s="49"/>
      <c r="N14" s="49"/>
      <c r="O14" s="49"/>
      <c r="P14" s="49"/>
      <c r="Q14" s="50"/>
      <c r="R14" s="4"/>
      <c r="S14" s="59" t="s">
        <v>12</v>
      </c>
      <c r="T14" s="60"/>
      <c r="U14" s="61"/>
      <c r="V14" s="57">
        <f>V13*0.1</f>
        <v>30000</v>
      </c>
      <c r="W14" s="57"/>
      <c r="X14" s="58"/>
    </row>
    <row r="15" spans="1:24" ht="9.5" customHeight="1" thickTop="1" thickBo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" thickTop="1">
      <c r="A16" s="87" t="s">
        <v>13</v>
      </c>
      <c r="B16" s="88"/>
      <c r="C16" s="88"/>
      <c r="D16" s="88"/>
      <c r="E16" s="88"/>
      <c r="F16" s="88"/>
      <c r="G16" s="88" t="s">
        <v>17</v>
      </c>
      <c r="H16" s="88"/>
      <c r="I16" s="88"/>
      <c r="J16" s="88"/>
      <c r="K16" s="88"/>
      <c r="L16" s="88"/>
      <c r="M16" s="88"/>
      <c r="N16" s="88"/>
      <c r="O16" s="88"/>
      <c r="P16" s="88"/>
      <c r="Q16" s="90" t="s">
        <v>16</v>
      </c>
      <c r="R16" s="90"/>
      <c r="S16" s="90"/>
      <c r="T16" s="11" t="s">
        <v>18</v>
      </c>
      <c r="U16" s="88" t="s">
        <v>15</v>
      </c>
      <c r="V16" s="88"/>
      <c r="W16" s="88" t="s">
        <v>14</v>
      </c>
      <c r="X16" s="89"/>
    </row>
    <row r="17" spans="1:24">
      <c r="A17" s="32"/>
      <c r="B17" s="33"/>
      <c r="C17" s="33"/>
      <c r="D17" s="33"/>
      <c r="E17" s="33"/>
      <c r="F17" s="33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34"/>
      <c r="R17" s="34"/>
      <c r="S17" s="34"/>
      <c r="T17" s="13"/>
      <c r="U17" s="35"/>
      <c r="V17" s="35"/>
      <c r="W17" s="34"/>
      <c r="X17" s="36"/>
    </row>
    <row r="18" spans="1:24">
      <c r="A18" s="91" t="s">
        <v>21</v>
      </c>
      <c r="B18" s="92"/>
      <c r="C18" s="92"/>
      <c r="D18" s="92"/>
      <c r="E18" s="92"/>
      <c r="F18" s="92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85"/>
      <c r="R18" s="85"/>
      <c r="S18" s="85"/>
      <c r="T18" s="12"/>
      <c r="U18" s="86"/>
      <c r="V18" s="86"/>
      <c r="W18" s="42"/>
      <c r="X18" s="43"/>
    </row>
    <row r="19" spans="1:24">
      <c r="A19" s="91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34"/>
      <c r="R19" s="34"/>
      <c r="S19" s="34"/>
      <c r="T19" s="13"/>
      <c r="U19" s="35"/>
      <c r="V19" s="35"/>
      <c r="W19" s="101">
        <f>SUM(W20:X22)</f>
        <v>80000</v>
      </c>
      <c r="X19" s="102"/>
    </row>
    <row r="20" spans="1:24">
      <c r="A20" s="91"/>
      <c r="B20" s="92"/>
      <c r="C20" s="92"/>
      <c r="D20" s="92"/>
      <c r="E20" s="92"/>
      <c r="F20" s="92"/>
      <c r="G20" s="92" t="s">
        <v>22</v>
      </c>
      <c r="H20" s="92"/>
      <c r="I20" s="92"/>
      <c r="J20" s="92"/>
      <c r="K20" s="92"/>
      <c r="L20" s="92"/>
      <c r="M20" s="92"/>
      <c r="N20" s="92"/>
      <c r="O20" s="92"/>
      <c r="P20" s="92"/>
      <c r="Q20" s="34">
        <v>25000</v>
      </c>
      <c r="R20" s="34"/>
      <c r="S20" s="34"/>
      <c r="T20" s="13">
        <v>1</v>
      </c>
      <c r="U20" s="35" t="s">
        <v>34</v>
      </c>
      <c r="V20" s="35"/>
      <c r="W20" s="103">
        <v>25000</v>
      </c>
      <c r="X20" s="104"/>
    </row>
    <row r="21" spans="1:24">
      <c r="A21" s="91"/>
      <c r="B21" s="92"/>
      <c r="C21" s="92"/>
      <c r="D21" s="92"/>
      <c r="E21" s="92"/>
      <c r="F21" s="92"/>
      <c r="G21" s="99" t="s">
        <v>26</v>
      </c>
      <c r="H21" s="99"/>
      <c r="I21" s="99"/>
      <c r="J21" s="99"/>
      <c r="K21" s="99"/>
      <c r="L21" s="99"/>
      <c r="M21" s="99"/>
      <c r="N21" s="99"/>
      <c r="O21" s="99"/>
      <c r="P21" s="99"/>
      <c r="Q21" s="34">
        <v>30000</v>
      </c>
      <c r="R21" s="34"/>
      <c r="S21" s="34"/>
      <c r="T21" s="13">
        <v>1</v>
      </c>
      <c r="U21" s="35" t="s">
        <v>34</v>
      </c>
      <c r="V21" s="35"/>
      <c r="W21" s="103">
        <v>30000</v>
      </c>
      <c r="X21" s="104"/>
    </row>
    <row r="22" spans="1:24">
      <c r="A22" s="91"/>
      <c r="B22" s="92"/>
      <c r="C22" s="92"/>
      <c r="D22" s="92"/>
      <c r="E22" s="92"/>
      <c r="F22" s="92"/>
      <c r="G22" s="92" t="s">
        <v>23</v>
      </c>
      <c r="H22" s="92"/>
      <c r="I22" s="92"/>
      <c r="J22" s="92"/>
      <c r="K22" s="92"/>
      <c r="L22" s="92"/>
      <c r="M22" s="92"/>
      <c r="N22" s="92"/>
      <c r="O22" s="92"/>
      <c r="P22" s="92"/>
      <c r="Q22" s="34">
        <v>25000</v>
      </c>
      <c r="R22" s="34"/>
      <c r="S22" s="34"/>
      <c r="T22" s="13">
        <v>1</v>
      </c>
      <c r="U22" s="35" t="s">
        <v>34</v>
      </c>
      <c r="V22" s="35"/>
      <c r="W22" s="103">
        <v>25000</v>
      </c>
      <c r="X22" s="104"/>
    </row>
    <row r="23" spans="1:24">
      <c r="A23" s="93"/>
      <c r="B23" s="94"/>
      <c r="C23" s="94"/>
      <c r="D23" s="94"/>
      <c r="E23" s="94"/>
      <c r="F23" s="95"/>
      <c r="G23" s="100"/>
      <c r="H23" s="94"/>
      <c r="I23" s="94"/>
      <c r="J23" s="94"/>
      <c r="K23" s="94"/>
      <c r="L23" s="94"/>
      <c r="M23" s="94"/>
      <c r="N23" s="94"/>
      <c r="O23" s="94"/>
      <c r="P23" s="95"/>
      <c r="Q23" s="27"/>
      <c r="R23" s="30"/>
      <c r="S23" s="31"/>
      <c r="T23" s="13"/>
      <c r="U23" s="35"/>
      <c r="V23" s="35"/>
      <c r="W23" s="103"/>
      <c r="X23" s="104"/>
    </row>
    <row r="24" spans="1:24">
      <c r="A24" s="91" t="s">
        <v>24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27"/>
      <c r="R24" s="30"/>
      <c r="S24" s="31"/>
      <c r="T24" s="13"/>
      <c r="U24" s="35"/>
      <c r="V24" s="35"/>
      <c r="W24" s="103"/>
      <c r="X24" s="104"/>
    </row>
    <row r="25" spans="1:24">
      <c r="A25" s="91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34"/>
      <c r="R25" s="34"/>
      <c r="S25" s="34"/>
      <c r="T25" s="13"/>
      <c r="U25" s="35"/>
      <c r="V25" s="35"/>
      <c r="W25" s="101">
        <f>SUM(W26:X28)</f>
        <v>50000</v>
      </c>
      <c r="X25" s="102"/>
    </row>
    <row r="26" spans="1:24">
      <c r="A26" s="91"/>
      <c r="B26" s="92"/>
      <c r="C26" s="92"/>
      <c r="D26" s="92"/>
      <c r="E26" s="92"/>
      <c r="F26" s="92"/>
      <c r="G26" s="92" t="s">
        <v>25</v>
      </c>
      <c r="H26" s="92"/>
      <c r="I26" s="92"/>
      <c r="J26" s="92"/>
      <c r="K26" s="92"/>
      <c r="L26" s="92"/>
      <c r="M26" s="92"/>
      <c r="N26" s="92"/>
      <c r="O26" s="92"/>
      <c r="P26" s="92"/>
      <c r="Q26" s="34">
        <v>20000</v>
      </c>
      <c r="R26" s="34"/>
      <c r="S26" s="34"/>
      <c r="T26" s="13">
        <v>1</v>
      </c>
      <c r="U26" s="35" t="s">
        <v>34</v>
      </c>
      <c r="V26" s="35"/>
      <c r="W26" s="103">
        <v>20000</v>
      </c>
      <c r="X26" s="104"/>
    </row>
    <row r="27" spans="1:24">
      <c r="A27" s="91"/>
      <c r="B27" s="92"/>
      <c r="C27" s="92"/>
      <c r="D27" s="92"/>
      <c r="E27" s="92"/>
      <c r="F27" s="92"/>
      <c r="G27" s="92" t="s">
        <v>27</v>
      </c>
      <c r="H27" s="92"/>
      <c r="I27" s="92"/>
      <c r="J27" s="92"/>
      <c r="K27" s="92"/>
      <c r="L27" s="92"/>
      <c r="M27" s="92"/>
      <c r="N27" s="92"/>
      <c r="O27" s="92"/>
      <c r="P27" s="92"/>
      <c r="Q27" s="34">
        <v>15000</v>
      </c>
      <c r="R27" s="34"/>
      <c r="S27" s="34"/>
      <c r="T27" s="13">
        <v>1</v>
      </c>
      <c r="U27" s="35" t="s">
        <v>34</v>
      </c>
      <c r="V27" s="35"/>
      <c r="W27" s="103">
        <v>15000</v>
      </c>
      <c r="X27" s="104"/>
    </row>
    <row r="28" spans="1:24">
      <c r="A28" s="91"/>
      <c r="B28" s="92"/>
      <c r="C28" s="92"/>
      <c r="D28" s="92"/>
      <c r="E28" s="92"/>
      <c r="F28" s="92"/>
      <c r="G28" s="92" t="s">
        <v>28</v>
      </c>
      <c r="H28" s="92"/>
      <c r="I28" s="92"/>
      <c r="J28" s="92"/>
      <c r="K28" s="92"/>
      <c r="L28" s="92"/>
      <c r="M28" s="92"/>
      <c r="N28" s="92"/>
      <c r="O28" s="92"/>
      <c r="P28" s="92"/>
      <c r="Q28" s="34">
        <v>15000</v>
      </c>
      <c r="R28" s="34"/>
      <c r="S28" s="34"/>
      <c r="T28" s="13">
        <v>1</v>
      </c>
      <c r="U28" s="35" t="s">
        <v>34</v>
      </c>
      <c r="V28" s="35"/>
      <c r="W28" s="103">
        <v>15000</v>
      </c>
      <c r="X28" s="104"/>
    </row>
    <row r="29" spans="1:24">
      <c r="A29" s="9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34"/>
      <c r="R29" s="34"/>
      <c r="S29" s="34"/>
      <c r="T29" s="15"/>
      <c r="U29" s="35"/>
      <c r="V29" s="35"/>
      <c r="W29" s="105"/>
      <c r="X29" s="106"/>
    </row>
    <row r="30" spans="1:24">
      <c r="A30" s="91" t="s">
        <v>29</v>
      </c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34"/>
      <c r="R30" s="34"/>
      <c r="S30" s="34"/>
      <c r="T30" s="15"/>
      <c r="U30" s="35"/>
      <c r="V30" s="35"/>
      <c r="W30" s="101"/>
      <c r="X30" s="102"/>
    </row>
    <row r="31" spans="1:24">
      <c r="A31" s="9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34"/>
      <c r="R31" s="34"/>
      <c r="S31" s="34"/>
      <c r="T31" s="13"/>
      <c r="U31" s="35"/>
      <c r="V31" s="35"/>
      <c r="W31" s="101">
        <f>SUM(W32:X34)</f>
        <v>65000</v>
      </c>
      <c r="X31" s="102"/>
    </row>
    <row r="32" spans="1:24">
      <c r="A32" s="91"/>
      <c r="B32" s="92"/>
      <c r="C32" s="92"/>
      <c r="D32" s="92"/>
      <c r="E32" s="92"/>
      <c r="F32" s="92"/>
      <c r="G32" s="92" t="s">
        <v>30</v>
      </c>
      <c r="H32" s="92"/>
      <c r="I32" s="92"/>
      <c r="J32" s="92"/>
      <c r="K32" s="92"/>
      <c r="L32" s="92"/>
      <c r="M32" s="92"/>
      <c r="N32" s="92"/>
      <c r="O32" s="92"/>
      <c r="P32" s="92"/>
      <c r="Q32" s="34">
        <v>25000</v>
      </c>
      <c r="R32" s="34"/>
      <c r="S32" s="34"/>
      <c r="T32" s="13">
        <v>1</v>
      </c>
      <c r="U32" s="35" t="s">
        <v>34</v>
      </c>
      <c r="V32" s="35"/>
      <c r="W32" s="103">
        <v>25000</v>
      </c>
      <c r="X32" s="104"/>
    </row>
    <row r="33" spans="1:24">
      <c r="A33" s="91"/>
      <c r="B33" s="92"/>
      <c r="C33" s="92"/>
      <c r="D33" s="92"/>
      <c r="E33" s="92"/>
      <c r="F33" s="92"/>
      <c r="G33" s="92" t="s">
        <v>31</v>
      </c>
      <c r="H33" s="92"/>
      <c r="I33" s="92"/>
      <c r="J33" s="92"/>
      <c r="K33" s="92"/>
      <c r="L33" s="92"/>
      <c r="M33" s="92"/>
      <c r="N33" s="92"/>
      <c r="O33" s="92"/>
      <c r="P33" s="92"/>
      <c r="Q33" s="34">
        <v>25000</v>
      </c>
      <c r="R33" s="34"/>
      <c r="S33" s="34"/>
      <c r="T33" s="13">
        <v>1</v>
      </c>
      <c r="U33" s="35" t="s">
        <v>34</v>
      </c>
      <c r="V33" s="35"/>
      <c r="W33" s="103">
        <v>25000</v>
      </c>
      <c r="X33" s="104"/>
    </row>
    <row r="34" spans="1:24">
      <c r="A34" s="93"/>
      <c r="B34" s="94"/>
      <c r="C34" s="94"/>
      <c r="D34" s="94"/>
      <c r="E34" s="94"/>
      <c r="F34" s="95"/>
      <c r="G34" s="92" t="s">
        <v>32</v>
      </c>
      <c r="H34" s="92"/>
      <c r="I34" s="92"/>
      <c r="J34" s="92"/>
      <c r="K34" s="92"/>
      <c r="L34" s="92"/>
      <c r="M34" s="92"/>
      <c r="N34" s="92"/>
      <c r="O34" s="92"/>
      <c r="P34" s="92"/>
      <c r="Q34" s="34">
        <v>15000</v>
      </c>
      <c r="R34" s="34"/>
      <c r="S34" s="34"/>
      <c r="T34" s="13">
        <v>1</v>
      </c>
      <c r="U34" s="35" t="s">
        <v>34</v>
      </c>
      <c r="V34" s="35"/>
      <c r="W34" s="103">
        <v>15000</v>
      </c>
      <c r="X34" s="104"/>
    </row>
    <row r="35" spans="1:24">
      <c r="A35" s="93"/>
      <c r="B35" s="94"/>
      <c r="C35" s="94"/>
      <c r="D35" s="94"/>
      <c r="E35" s="94"/>
      <c r="F35" s="95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34"/>
      <c r="R35" s="34"/>
      <c r="S35" s="34"/>
      <c r="T35" s="13"/>
      <c r="U35" s="35"/>
      <c r="V35" s="35"/>
      <c r="W35" s="103"/>
      <c r="X35" s="104"/>
    </row>
    <row r="36" spans="1:24">
      <c r="A36" s="91" t="s">
        <v>33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34"/>
      <c r="R36" s="34"/>
      <c r="S36" s="34"/>
      <c r="T36" s="13"/>
      <c r="U36" s="35"/>
      <c r="V36" s="35"/>
      <c r="W36" s="103"/>
      <c r="X36" s="104"/>
    </row>
    <row r="37" spans="1:24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34"/>
      <c r="R37" s="34"/>
      <c r="S37" s="34"/>
      <c r="T37" s="13"/>
      <c r="U37" s="35"/>
      <c r="V37" s="35"/>
      <c r="W37" s="101">
        <f>SUM(W38:X40)</f>
        <v>65000</v>
      </c>
      <c r="X37" s="102"/>
    </row>
    <row r="38" spans="1:24">
      <c r="A38" s="91"/>
      <c r="B38" s="92"/>
      <c r="C38" s="92"/>
      <c r="D38" s="92"/>
      <c r="E38" s="92"/>
      <c r="F38" s="92"/>
      <c r="G38" s="92" t="s">
        <v>35</v>
      </c>
      <c r="H38" s="92"/>
      <c r="I38" s="92"/>
      <c r="J38" s="92"/>
      <c r="K38" s="92"/>
      <c r="L38" s="92"/>
      <c r="M38" s="92"/>
      <c r="N38" s="92"/>
      <c r="O38" s="92"/>
      <c r="P38" s="92"/>
      <c r="Q38" s="34">
        <v>15000</v>
      </c>
      <c r="R38" s="34"/>
      <c r="S38" s="34"/>
      <c r="T38" s="13">
        <v>1</v>
      </c>
      <c r="U38" s="35" t="s">
        <v>34</v>
      </c>
      <c r="V38" s="35"/>
      <c r="W38" s="103">
        <v>15000</v>
      </c>
      <c r="X38" s="104"/>
    </row>
    <row r="39" spans="1:24">
      <c r="A39" s="91"/>
      <c r="B39" s="92"/>
      <c r="C39" s="92"/>
      <c r="D39" s="92"/>
      <c r="E39" s="92"/>
      <c r="F39" s="92"/>
      <c r="G39" s="92" t="s">
        <v>36</v>
      </c>
      <c r="H39" s="92"/>
      <c r="I39" s="92"/>
      <c r="J39" s="92"/>
      <c r="K39" s="92"/>
      <c r="L39" s="92"/>
      <c r="M39" s="92"/>
      <c r="N39" s="92"/>
      <c r="O39" s="92"/>
      <c r="P39" s="92"/>
      <c r="Q39" s="34">
        <v>30000</v>
      </c>
      <c r="R39" s="34"/>
      <c r="S39" s="34"/>
      <c r="T39" s="13">
        <v>1</v>
      </c>
      <c r="U39" s="35" t="s">
        <v>34</v>
      </c>
      <c r="V39" s="35"/>
      <c r="W39" s="103">
        <v>30000</v>
      </c>
      <c r="X39" s="104"/>
    </row>
    <row r="40" spans="1:24">
      <c r="A40" s="91"/>
      <c r="B40" s="92"/>
      <c r="C40" s="92"/>
      <c r="D40" s="92"/>
      <c r="E40" s="92"/>
      <c r="F40" s="92"/>
      <c r="G40" s="92" t="s">
        <v>37</v>
      </c>
      <c r="H40" s="92"/>
      <c r="I40" s="92"/>
      <c r="J40" s="92"/>
      <c r="K40" s="92"/>
      <c r="L40" s="92"/>
      <c r="M40" s="92"/>
      <c r="N40" s="92"/>
      <c r="O40" s="92"/>
      <c r="P40" s="92"/>
      <c r="Q40" s="34">
        <v>20000</v>
      </c>
      <c r="R40" s="34"/>
      <c r="S40" s="34"/>
      <c r="T40" s="13">
        <v>1</v>
      </c>
      <c r="U40" s="35" t="s">
        <v>34</v>
      </c>
      <c r="V40" s="35"/>
      <c r="W40" s="103">
        <v>20000</v>
      </c>
      <c r="X40" s="104"/>
    </row>
    <row r="41" spans="1:24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34"/>
      <c r="R41" s="34"/>
      <c r="S41" s="34"/>
      <c r="T41" s="13"/>
      <c r="U41" s="35"/>
      <c r="V41" s="35"/>
      <c r="W41" s="103"/>
      <c r="X41" s="104"/>
    </row>
    <row r="42" spans="1:24">
      <c r="A42" s="93"/>
      <c r="B42" s="94"/>
      <c r="C42" s="94"/>
      <c r="D42" s="94"/>
      <c r="E42" s="94"/>
      <c r="F42" s="95"/>
      <c r="G42" s="100"/>
      <c r="H42" s="94"/>
      <c r="I42" s="94"/>
      <c r="J42" s="94"/>
      <c r="K42" s="94"/>
      <c r="L42" s="94"/>
      <c r="M42" s="94"/>
      <c r="N42" s="94"/>
      <c r="O42" s="94"/>
      <c r="P42" s="95"/>
      <c r="Q42" s="27"/>
      <c r="R42" s="30"/>
      <c r="S42" s="31"/>
      <c r="T42" s="13"/>
      <c r="U42" s="28"/>
      <c r="V42" s="29"/>
      <c r="W42" s="105"/>
      <c r="X42" s="106"/>
    </row>
    <row r="43" spans="1:24">
      <c r="A43" s="91" t="s">
        <v>38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34"/>
      <c r="R43" s="34"/>
      <c r="S43" s="34"/>
      <c r="T43" s="13"/>
      <c r="U43" s="35"/>
      <c r="V43" s="35"/>
      <c r="W43" s="103"/>
      <c r="X43" s="104"/>
    </row>
    <row r="44" spans="1:24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34"/>
      <c r="R44" s="34"/>
      <c r="S44" s="34"/>
      <c r="T44" s="15"/>
      <c r="U44" s="35"/>
      <c r="V44" s="35"/>
      <c r="W44" s="101">
        <f>SUM(W45:X47)</f>
        <v>40000</v>
      </c>
      <c r="X44" s="102"/>
    </row>
    <row r="45" spans="1:24">
      <c r="A45" s="91"/>
      <c r="B45" s="92"/>
      <c r="C45" s="92"/>
      <c r="D45" s="92"/>
      <c r="E45" s="92"/>
      <c r="F45" s="92"/>
      <c r="G45" s="92" t="s">
        <v>39</v>
      </c>
      <c r="H45" s="92"/>
      <c r="I45" s="92"/>
      <c r="J45" s="92"/>
      <c r="K45" s="92"/>
      <c r="L45" s="92"/>
      <c r="M45" s="92"/>
      <c r="N45" s="92"/>
      <c r="O45" s="92"/>
      <c r="P45" s="92"/>
      <c r="Q45" s="34">
        <v>15000</v>
      </c>
      <c r="R45" s="34"/>
      <c r="S45" s="34"/>
      <c r="T45" s="13">
        <v>1</v>
      </c>
      <c r="U45" s="35" t="s">
        <v>34</v>
      </c>
      <c r="V45" s="35"/>
      <c r="W45" s="103">
        <v>15000</v>
      </c>
      <c r="X45" s="104"/>
    </row>
    <row r="46" spans="1:24">
      <c r="A46" s="91"/>
      <c r="B46" s="92"/>
      <c r="C46" s="92"/>
      <c r="D46" s="92"/>
      <c r="E46" s="92"/>
      <c r="F46" s="92"/>
      <c r="G46" s="100" t="s">
        <v>40</v>
      </c>
      <c r="H46" s="94"/>
      <c r="I46" s="94"/>
      <c r="J46" s="94"/>
      <c r="K46" s="94"/>
      <c r="L46" s="94"/>
      <c r="M46" s="94"/>
      <c r="N46" s="94"/>
      <c r="O46" s="94"/>
      <c r="P46" s="95"/>
      <c r="Q46" s="39">
        <v>15000</v>
      </c>
      <c r="R46" s="40"/>
      <c r="S46" s="41"/>
      <c r="T46" s="13">
        <v>1</v>
      </c>
      <c r="U46" s="28" t="s">
        <v>34</v>
      </c>
      <c r="V46" s="29"/>
      <c r="W46" s="103">
        <v>15000</v>
      </c>
      <c r="X46" s="104"/>
    </row>
    <row r="47" spans="1:24">
      <c r="A47" s="91"/>
      <c r="B47" s="92"/>
      <c r="C47" s="92"/>
      <c r="D47" s="92"/>
      <c r="E47" s="92"/>
      <c r="F47" s="92"/>
      <c r="G47" s="100" t="s">
        <v>41</v>
      </c>
      <c r="H47" s="94"/>
      <c r="I47" s="94"/>
      <c r="J47" s="94"/>
      <c r="K47" s="94"/>
      <c r="L47" s="94"/>
      <c r="M47" s="94"/>
      <c r="N47" s="94"/>
      <c r="O47" s="94"/>
      <c r="P47" s="95"/>
      <c r="Q47" s="39">
        <v>10000</v>
      </c>
      <c r="R47" s="40"/>
      <c r="S47" s="41"/>
      <c r="T47" s="13">
        <v>1</v>
      </c>
      <c r="U47" s="28" t="s">
        <v>34</v>
      </c>
      <c r="V47" s="29"/>
      <c r="W47" s="103">
        <v>10000</v>
      </c>
      <c r="X47" s="104"/>
    </row>
    <row r="48" spans="1:24" ht="15" thickBot="1">
      <c r="A48" s="96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37"/>
      <c r="R48" s="37"/>
      <c r="S48" s="37"/>
      <c r="T48" s="14"/>
      <c r="U48" s="38"/>
      <c r="V48" s="38"/>
      <c r="W48" s="107"/>
      <c r="X48" s="108"/>
    </row>
    <row r="49" spans="1:24" ht="15" thickTop="1">
      <c r="A49" s="16"/>
      <c r="B49" s="16"/>
    </row>
    <row r="50" spans="1:24" ht="15" thickBot="1">
      <c r="A50" s="17" t="s">
        <v>48</v>
      </c>
      <c r="B50" s="17"/>
    </row>
    <row r="51" spans="1:24" ht="15" thickTop="1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20"/>
    </row>
    <row r="52" spans="1:24">
      <c r="A52" s="21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3"/>
    </row>
    <row r="53" spans="1:24" ht="15" thickBo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6"/>
    </row>
    <row r="54" spans="1:24" ht="15" thickTop="1"/>
  </sheetData>
  <mergeCells count="191">
    <mergeCell ref="A37:F37"/>
    <mergeCell ref="Q34:S34"/>
    <mergeCell ref="U34:V34"/>
    <mergeCell ref="W34:X34"/>
    <mergeCell ref="A27:F27"/>
    <mergeCell ref="G27:P27"/>
    <mergeCell ref="Q27:S27"/>
    <mergeCell ref="U27:V27"/>
    <mergeCell ref="W27:X27"/>
    <mergeCell ref="A34:F34"/>
    <mergeCell ref="G34:P34"/>
    <mergeCell ref="G35:P35"/>
    <mergeCell ref="A35:F35"/>
    <mergeCell ref="A36:F36"/>
    <mergeCell ref="G36:P36"/>
    <mergeCell ref="Q36:S36"/>
    <mergeCell ref="U36:V36"/>
    <mergeCell ref="W36:X36"/>
    <mergeCell ref="G37:P37"/>
    <mergeCell ref="U37:V37"/>
    <mergeCell ref="W37:X37"/>
    <mergeCell ref="Q37:S37"/>
    <mergeCell ref="U35:V35"/>
    <mergeCell ref="W35:X35"/>
    <mergeCell ref="U33:V33"/>
    <mergeCell ref="W33:X33"/>
    <mergeCell ref="A32:F32"/>
    <mergeCell ref="G32:P32"/>
    <mergeCell ref="U32:V32"/>
    <mergeCell ref="W32:X32"/>
    <mergeCell ref="Q32:S32"/>
    <mergeCell ref="A25:F25"/>
    <mergeCell ref="G25:P25"/>
    <mergeCell ref="U25:V25"/>
    <mergeCell ref="W25:X25"/>
    <mergeCell ref="Q25:S25"/>
    <mergeCell ref="A26:F26"/>
    <mergeCell ref="G26:P26"/>
    <mergeCell ref="U26:V26"/>
    <mergeCell ref="W26:X26"/>
    <mergeCell ref="Q26:S26"/>
    <mergeCell ref="Q35:S35"/>
    <mergeCell ref="A31:F31"/>
    <mergeCell ref="G31:P31"/>
    <mergeCell ref="U31:V31"/>
    <mergeCell ref="W31:X31"/>
    <mergeCell ref="Q31:S31"/>
    <mergeCell ref="A28:F28"/>
    <mergeCell ref="G28:P28"/>
    <mergeCell ref="U28:V28"/>
    <mergeCell ref="W28:X28"/>
    <mergeCell ref="Q28:S28"/>
    <mergeCell ref="A30:F30"/>
    <mergeCell ref="G30:P30"/>
    <mergeCell ref="Q30:S30"/>
    <mergeCell ref="U30:V30"/>
    <mergeCell ref="W30:X30"/>
    <mergeCell ref="A29:F29"/>
    <mergeCell ref="G29:P29"/>
    <mergeCell ref="Q29:S29"/>
    <mergeCell ref="U29:V29"/>
    <mergeCell ref="W29:X29"/>
    <mergeCell ref="A33:F33"/>
    <mergeCell ref="G33:P33"/>
    <mergeCell ref="Q33:S33"/>
    <mergeCell ref="Q23:S23"/>
    <mergeCell ref="A22:F22"/>
    <mergeCell ref="G22:P22"/>
    <mergeCell ref="U22:V22"/>
    <mergeCell ref="W22:X22"/>
    <mergeCell ref="Q22:S22"/>
    <mergeCell ref="A23:F23"/>
    <mergeCell ref="G23:P23"/>
    <mergeCell ref="U23:V23"/>
    <mergeCell ref="W23:X23"/>
    <mergeCell ref="A24:F24"/>
    <mergeCell ref="G24:P24"/>
    <mergeCell ref="U24:V24"/>
    <mergeCell ref="W24:X24"/>
    <mergeCell ref="Q24:S24"/>
    <mergeCell ref="A16:F16"/>
    <mergeCell ref="W16:X16"/>
    <mergeCell ref="U16:V16"/>
    <mergeCell ref="G16:P16"/>
    <mergeCell ref="Q16:S16"/>
    <mergeCell ref="A21:F21"/>
    <mergeCell ref="G21:P21"/>
    <mergeCell ref="U21:V21"/>
    <mergeCell ref="W21:X21"/>
    <mergeCell ref="Q21:S21"/>
    <mergeCell ref="A20:F20"/>
    <mergeCell ref="G20:P20"/>
    <mergeCell ref="U20:V20"/>
    <mergeCell ref="W20:X20"/>
    <mergeCell ref="Q20:S20"/>
    <mergeCell ref="A19:F19"/>
    <mergeCell ref="G19:P19"/>
    <mergeCell ref="U19:V19"/>
    <mergeCell ref="W19:X19"/>
    <mergeCell ref="Q19:S19"/>
    <mergeCell ref="A17:F17"/>
    <mergeCell ref="G17:P17"/>
    <mergeCell ref="U17:V17"/>
    <mergeCell ref="W17:X17"/>
    <mergeCell ref="Q17:S17"/>
    <mergeCell ref="A18:F18"/>
    <mergeCell ref="G18:P18"/>
    <mergeCell ref="Q18:S18"/>
    <mergeCell ref="U18:V18"/>
    <mergeCell ref="W18:X18"/>
    <mergeCell ref="V1:W1"/>
    <mergeCell ref="G13:Q14"/>
    <mergeCell ref="A13:F14"/>
    <mergeCell ref="V13:X13"/>
    <mergeCell ref="V14:X14"/>
    <mergeCell ref="S13:U13"/>
    <mergeCell ref="S14:U14"/>
    <mergeCell ref="S5:X10"/>
    <mergeCell ref="A10:C10"/>
    <mergeCell ref="I8:K8"/>
    <mergeCell ref="D8:H8"/>
    <mergeCell ref="D9:H9"/>
    <mergeCell ref="D10:H10"/>
    <mergeCell ref="L8:Q8"/>
    <mergeCell ref="L9:Q9"/>
    <mergeCell ref="L10:Q10"/>
    <mergeCell ref="I9:K9"/>
    <mergeCell ref="I10:K10"/>
    <mergeCell ref="A8:C8"/>
    <mergeCell ref="A9:C9"/>
    <mergeCell ref="A2:X3"/>
    <mergeCell ref="A5:Q5"/>
    <mergeCell ref="A6:P6"/>
    <mergeCell ref="A40:F40"/>
    <mergeCell ref="G40:P40"/>
    <mergeCell ref="Q40:S40"/>
    <mergeCell ref="U40:V40"/>
    <mergeCell ref="W40:X40"/>
    <mergeCell ref="A38:F38"/>
    <mergeCell ref="G38:P38"/>
    <mergeCell ref="Q38:S38"/>
    <mergeCell ref="U38:V38"/>
    <mergeCell ref="W38:X38"/>
    <mergeCell ref="A39:F39"/>
    <mergeCell ref="G39:P39"/>
    <mergeCell ref="Q39:S39"/>
    <mergeCell ref="U39:V39"/>
    <mergeCell ref="W39:X39"/>
    <mergeCell ref="W45:X45"/>
    <mergeCell ref="A46:F46"/>
    <mergeCell ref="G46:P46"/>
    <mergeCell ref="Q46:S46"/>
    <mergeCell ref="U46:V46"/>
    <mergeCell ref="W46:X46"/>
    <mergeCell ref="A43:F43"/>
    <mergeCell ref="G43:P43"/>
    <mergeCell ref="Q43:S43"/>
    <mergeCell ref="U43:V43"/>
    <mergeCell ref="W43:X43"/>
    <mergeCell ref="A44:F44"/>
    <mergeCell ref="G45:P45"/>
    <mergeCell ref="Q45:S45"/>
    <mergeCell ref="U45:V45"/>
    <mergeCell ref="W44:X44"/>
    <mergeCell ref="G44:P44"/>
    <mergeCell ref="Q44:S44"/>
    <mergeCell ref="U44:V44"/>
    <mergeCell ref="A49:B49"/>
    <mergeCell ref="A50:B50"/>
    <mergeCell ref="A51:X53"/>
    <mergeCell ref="W42:X42"/>
    <mergeCell ref="U42:V42"/>
    <mergeCell ref="Q42:S42"/>
    <mergeCell ref="G42:P42"/>
    <mergeCell ref="A42:F42"/>
    <mergeCell ref="A41:F41"/>
    <mergeCell ref="G41:P41"/>
    <mergeCell ref="Q41:S41"/>
    <mergeCell ref="U41:V41"/>
    <mergeCell ref="W41:X41"/>
    <mergeCell ref="A48:F48"/>
    <mergeCell ref="G48:P48"/>
    <mergeCell ref="Q48:S48"/>
    <mergeCell ref="U48:V48"/>
    <mergeCell ref="W48:X48"/>
    <mergeCell ref="A47:F47"/>
    <mergeCell ref="G47:P47"/>
    <mergeCell ref="Q47:S47"/>
    <mergeCell ref="U47:V47"/>
    <mergeCell ref="W47:X47"/>
    <mergeCell ref="A45:F45"/>
  </mergeCells>
  <phoneticPr fontId="1"/>
  <pageMargins left="0.59055118110236227" right="0" top="0.39370078740157483" bottom="0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山田兼造</dc:creator>
  <cp:lastModifiedBy>兼造 山田</cp:lastModifiedBy>
  <cp:lastPrinted>2021-04-28T10:51:08Z</cp:lastPrinted>
  <dcterms:created xsi:type="dcterms:W3CDTF">2021-04-28T07:18:08Z</dcterms:created>
  <dcterms:modified xsi:type="dcterms:W3CDTF">2026-05-27T02:28:14Z</dcterms:modified>
</cp:coreProperties>
</file>